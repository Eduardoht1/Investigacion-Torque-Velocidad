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ce62c51eb142d3/Desktop/EDUARDO DOCS/Investigacion Torque-Velocidad/Documentation/"/>
    </mc:Choice>
  </mc:AlternateContent>
  <xr:revisionPtr revIDLastSave="126" documentId="8_{A7FEB510-BA41-4534-973E-439437F18F6B}" xr6:coauthVersionLast="47" xr6:coauthVersionMax="47" xr10:uidLastSave="{DC5B8AFA-5CDB-4C37-8285-64EC153EFF5B}"/>
  <bookViews>
    <workbookView xWindow="26" yWindow="26" windowWidth="25109" windowHeight="13405" xr2:uid="{1E203277-977B-4F3E-A76D-A9EA142B0A2E}"/>
  </bookViews>
  <sheets>
    <sheet name="Sheet1" sheetId="1" r:id="rId1"/>
  </sheets>
  <definedNames>
    <definedName name="I_a">Sheet1!$F$13</definedName>
    <definedName name="I_nom">Sheet1!$P$13</definedName>
    <definedName name="Kb">Sheet1!$C$18</definedName>
    <definedName name="Kt">Sheet1!$C$19</definedName>
    <definedName name="P_nom">Sheet1!$Q$13</definedName>
    <definedName name="R_a">Sheet1!$B$13</definedName>
    <definedName name="Tau">Sheet1!$C$22</definedName>
    <definedName name="V_a">Sheet1!$G$13</definedName>
    <definedName name="V_nom">Sheet1!$O$13</definedName>
    <definedName name="Vel">Sheet1!$K$13</definedName>
    <definedName name="Vel_nom">Sheet1!$M$13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66" i="1"/>
  <c r="D64" i="1"/>
  <c r="D63" i="1"/>
  <c r="D62" i="1"/>
  <c r="D61" i="1"/>
  <c r="D59" i="1"/>
  <c r="D58" i="1"/>
  <c r="D57" i="1"/>
  <c r="D56" i="1"/>
  <c r="D67" i="1" s="1"/>
  <c r="D47" i="1"/>
  <c r="D48" i="1"/>
  <c r="D49" i="1"/>
  <c r="D50" i="1"/>
  <c r="D51" i="1"/>
  <c r="D52" i="1"/>
  <c r="D53" i="1"/>
  <c r="D54" i="1"/>
  <c r="D55" i="1"/>
  <c r="D60" i="1"/>
  <c r="D65" i="1"/>
  <c r="D46" i="1"/>
  <c r="C22" i="1"/>
  <c r="M13" i="1"/>
  <c r="K13" i="1"/>
  <c r="F3" i="1"/>
  <c r="F13" i="1" s="1"/>
  <c r="J13" i="1"/>
  <c r="N13" i="1"/>
  <c r="O13" i="1"/>
  <c r="P13" i="1"/>
  <c r="Q13" i="1"/>
  <c r="I13" i="1"/>
  <c r="C13" i="1"/>
  <c r="E13" i="1"/>
  <c r="E14" i="1" s="1"/>
  <c r="C29" i="1" s="1"/>
  <c r="C36" i="1" s="1"/>
  <c r="G13" i="1"/>
  <c r="B13" i="1"/>
  <c r="I19" i="1" s="1"/>
  <c r="C18" i="1" l="1"/>
  <c r="C19" i="1" s="1"/>
  <c r="C23" i="1" s="1"/>
  <c r="C26" i="1" s="1"/>
  <c r="D32" i="1" s="1"/>
  <c r="C28" i="1"/>
  <c r="D33" i="1" s="1"/>
  <c r="C27" i="1"/>
  <c r="C33" i="1" s="1"/>
  <c r="C20" i="1" l="1"/>
  <c r="C25" i="1" s="1"/>
  <c r="C32" i="1" s="1"/>
  <c r="C21" i="1"/>
</calcChain>
</file>

<file path=xl/sharedStrings.xml><?xml version="1.0" encoding="utf-8"?>
<sst xmlns="http://schemas.openxmlformats.org/spreadsheetml/2006/main" count="63" uniqueCount="58">
  <si>
    <t>No.</t>
  </si>
  <si>
    <t>Va (V)</t>
  </si>
  <si>
    <t>L (mH)</t>
  </si>
  <si>
    <t>Ra (Ω) 1</t>
  </si>
  <si>
    <t>Ra (Ω) 2</t>
  </si>
  <si>
    <t>AVG</t>
  </si>
  <si>
    <t>M Rojo</t>
  </si>
  <si>
    <t>M Amarillo</t>
  </si>
  <si>
    <t>General</t>
  </si>
  <si>
    <t>RPM</t>
  </si>
  <si>
    <t>Encoder</t>
  </si>
  <si>
    <t>Tacometro</t>
  </si>
  <si>
    <t>RPM Nominal</t>
  </si>
  <si>
    <t>V Nominal (V)</t>
  </si>
  <si>
    <t>I Nominal (A)</t>
  </si>
  <si>
    <t>P Nominal (Hp)</t>
  </si>
  <si>
    <t>Ia (A)</t>
  </si>
  <si>
    <t>Calculos</t>
  </si>
  <si>
    <t>Kb</t>
  </si>
  <si>
    <t>Rad/s</t>
  </si>
  <si>
    <t>V/(rad/s)</t>
  </si>
  <si>
    <t>Kt</t>
  </si>
  <si>
    <t>Nm/A</t>
  </si>
  <si>
    <t>b</t>
  </si>
  <si>
    <t>T_rated</t>
  </si>
  <si>
    <t xml:space="preserve">Nm </t>
  </si>
  <si>
    <t>Nm*s</t>
  </si>
  <si>
    <t>J</t>
  </si>
  <si>
    <t>Rad/s Nominal</t>
  </si>
  <si>
    <t>kg*m^2</t>
  </si>
  <si>
    <t>τ</t>
  </si>
  <si>
    <t>s</t>
  </si>
  <si>
    <t>0 RPM</t>
  </si>
  <si>
    <t>395 Rpm (63.2%)</t>
  </si>
  <si>
    <t>(-b/J)</t>
  </si>
  <si>
    <t>(Kt/J)</t>
  </si>
  <si>
    <t>(-R/L)</t>
  </si>
  <si>
    <t>(-Kb/L)</t>
  </si>
  <si>
    <t>(1/L)</t>
  </si>
  <si>
    <t>A</t>
  </si>
  <si>
    <t>B</t>
  </si>
  <si>
    <t>C</t>
  </si>
  <si>
    <t>D</t>
  </si>
  <si>
    <t>x1</t>
  </si>
  <si>
    <t>w[rad/s]</t>
  </si>
  <si>
    <t>x2</t>
  </si>
  <si>
    <t>ia[A]</t>
  </si>
  <si>
    <t>Resistencia Armadura</t>
  </si>
  <si>
    <t xml:space="preserve">Voltaje </t>
  </si>
  <si>
    <t>Corriente</t>
  </si>
  <si>
    <t>Torque</t>
  </si>
  <si>
    <t>Torque (NM)</t>
  </si>
  <si>
    <t>I pr (mA)</t>
  </si>
  <si>
    <t>I re (mA)</t>
  </si>
  <si>
    <t>Dif (mA)</t>
  </si>
  <si>
    <t>Dos motores</t>
  </si>
  <si>
    <t>V_Generado</t>
  </si>
  <si>
    <t>RPM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</si>
</sst>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4" borderId="1" xfId="0" applyFont="1" applyFill="1" applyBorder="1"/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Corriente</a:t>
            </a:r>
            <a:r>
              <a:rPr lang="en-US" baseline="0"/>
              <a:t> Sensor vs Corriente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I pr 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Sheet1!$A$46:$A$65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Sheet1!$B$46:$B$65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123</c:v>
                </c:pt>
                <c:pt idx="3">
                  <c:v>190</c:v>
                </c:pt>
                <c:pt idx="4">
                  <c:v>255</c:v>
                </c:pt>
                <c:pt idx="5">
                  <c:v>250</c:v>
                </c:pt>
                <c:pt idx="6">
                  <c:v>320</c:v>
                </c:pt>
                <c:pt idx="7">
                  <c:v>370</c:v>
                </c:pt>
                <c:pt idx="8">
                  <c:v>425</c:v>
                </c:pt>
                <c:pt idx="9">
                  <c:v>470</c:v>
                </c:pt>
                <c:pt idx="10">
                  <c:v>535</c:v>
                </c:pt>
                <c:pt idx="11">
                  <c:v>605</c:v>
                </c:pt>
                <c:pt idx="12">
                  <c:v>670</c:v>
                </c:pt>
                <c:pt idx="13">
                  <c:v>735</c:v>
                </c:pt>
                <c:pt idx="14">
                  <c:v>775</c:v>
                </c:pt>
                <c:pt idx="15">
                  <c:v>860</c:v>
                </c:pt>
                <c:pt idx="16">
                  <c:v>922</c:v>
                </c:pt>
                <c:pt idx="17">
                  <c:v>970</c:v>
                </c:pt>
                <c:pt idx="18">
                  <c:v>1050</c:v>
                </c:pt>
                <c:pt idx="19">
                  <c:v>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1-4C51-AC55-2F3CFD95F0B1}"/>
            </c:ext>
          </c:extLst>
        </c:ser>
        <c:ser>
          <c:idx val="1"/>
          <c:order val="1"/>
          <c:tx>
            <c:strRef>
              <c:f>Sheet1!$C$45</c:f>
              <c:strCache>
                <c:ptCount val="1"/>
                <c:pt idx="0">
                  <c:v>I re (mA)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Sheet1!$A$46:$A$65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Sheet1!$C$46:$C$65</c:f>
              <c:numCache>
                <c:formatCode>General</c:formatCode>
                <c:ptCount val="20"/>
                <c:pt idx="0">
                  <c:v>60</c:v>
                </c:pt>
                <c:pt idx="1">
                  <c:v>130</c:v>
                </c:pt>
                <c:pt idx="2">
                  <c:v>220</c:v>
                </c:pt>
                <c:pt idx="3">
                  <c:v>300</c:v>
                </c:pt>
                <c:pt idx="4">
                  <c:v>385</c:v>
                </c:pt>
                <c:pt idx="5">
                  <c:v>370</c:v>
                </c:pt>
                <c:pt idx="6">
                  <c:v>430</c:v>
                </c:pt>
                <c:pt idx="7">
                  <c:v>490</c:v>
                </c:pt>
                <c:pt idx="8">
                  <c:v>550</c:v>
                </c:pt>
                <c:pt idx="9">
                  <c:v>620</c:v>
                </c:pt>
                <c:pt idx="10">
                  <c:v>670</c:v>
                </c:pt>
                <c:pt idx="11">
                  <c:v>740</c:v>
                </c:pt>
                <c:pt idx="12">
                  <c:v>800</c:v>
                </c:pt>
                <c:pt idx="13">
                  <c:v>870</c:v>
                </c:pt>
                <c:pt idx="14">
                  <c:v>940</c:v>
                </c:pt>
                <c:pt idx="15">
                  <c:v>1000</c:v>
                </c:pt>
                <c:pt idx="16">
                  <c:v>1070</c:v>
                </c:pt>
                <c:pt idx="17">
                  <c:v>1140</c:v>
                </c:pt>
                <c:pt idx="18">
                  <c:v>1200</c:v>
                </c:pt>
                <c:pt idx="19">
                  <c:v>1260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1-4C51-AC55-2F3CFD95F0B1}"/>
            </c:ext>
          </c:extLst>
        </c:ser>
        <c:ser>
          <c:idx val="2"/>
          <c:order val="2"/>
          <c:tx>
            <c:strRef>
              <c:f>Sheet1!$D$45</c:f>
              <c:strCache>
                <c:ptCount val="1"/>
                <c:pt idx="0">
                  <c:v>Dif (mA)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Sheet1!$A$46:$A$65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Sheet1!$D$46:$D$65</c:f>
              <c:numCache>
                <c:formatCode>General</c:formatCode>
                <c:ptCount val="20"/>
                <c:pt idx="0">
                  <c:v>60</c:v>
                </c:pt>
                <c:pt idx="1">
                  <c:v>125</c:v>
                </c:pt>
                <c:pt idx="2">
                  <c:v>97</c:v>
                </c:pt>
                <c:pt idx="3">
                  <c:v>110</c:v>
                </c:pt>
                <c:pt idx="4">
                  <c:v>130</c:v>
                </c:pt>
                <c:pt idx="5">
                  <c:v>120</c:v>
                </c:pt>
                <c:pt idx="6">
                  <c:v>110</c:v>
                </c:pt>
                <c:pt idx="7">
                  <c:v>120</c:v>
                </c:pt>
                <c:pt idx="8">
                  <c:v>125</c:v>
                </c:pt>
                <c:pt idx="9">
                  <c:v>150</c:v>
                </c:pt>
                <c:pt idx="10">
                  <c:v>135</c:v>
                </c:pt>
                <c:pt idx="11">
                  <c:v>135</c:v>
                </c:pt>
                <c:pt idx="12">
                  <c:v>130</c:v>
                </c:pt>
                <c:pt idx="13">
                  <c:v>135</c:v>
                </c:pt>
                <c:pt idx="14">
                  <c:v>165</c:v>
                </c:pt>
                <c:pt idx="15">
                  <c:v>140</c:v>
                </c:pt>
                <c:pt idx="16">
                  <c:v>148</c:v>
                </c:pt>
                <c:pt idx="17">
                  <c:v>170</c:v>
                </c:pt>
                <c:pt idx="18">
                  <c:v>150</c:v>
                </c:pt>
                <c:pt idx="19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1-4C51-AC55-2F3CFD95F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7029951"/>
        <c:axId val="1908466159"/>
      </c:lineChart>
      <c:catAx>
        <c:axId val="205702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66159"/>
        <c:crosses val="autoZero"/>
        <c:auto val="1"/>
        <c:lblAlgn val="ctr"/>
        <c:lblOffset val="100"/>
        <c:noMultiLvlLbl val="0"/>
      </c:catAx>
      <c:valAx>
        <c:axId val="19084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Voltaje-Torque (sin carga)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Sheet1!$E$45</c:f>
              <c:strCache>
                <c:ptCount val="1"/>
                <c:pt idx="0">
                  <c:v>Torque (NM)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Sheet1!$A$46:$A$65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Sheet1!$E$46:$E$65</c:f>
              <c:numCache>
                <c:formatCode>General</c:formatCode>
                <c:ptCount val="20"/>
                <c:pt idx="0">
                  <c:v>2.6209338426279601E-2</c:v>
                </c:pt>
                <c:pt idx="1">
                  <c:v>5.6786899923605805E-2</c:v>
                </c:pt>
                <c:pt idx="2">
                  <c:v>9.6100907563025209E-2</c:v>
                </c:pt>
                <c:pt idx="3">
                  <c:v>0.131046692131398</c:v>
                </c:pt>
                <c:pt idx="4">
                  <c:v>0.16817658823529411</c:v>
                </c:pt>
                <c:pt idx="5">
                  <c:v>0.16162425362872421</c:v>
                </c:pt>
                <c:pt idx="6">
                  <c:v>0.1878335920550038</c:v>
                </c:pt>
                <c:pt idx="7">
                  <c:v>0.21404293048128339</c:v>
                </c:pt>
                <c:pt idx="8">
                  <c:v>0.24025226890756302</c:v>
                </c:pt>
                <c:pt idx="9">
                  <c:v>0.27082983040488923</c:v>
                </c:pt>
                <c:pt idx="10">
                  <c:v>0.2926709457601222</c:v>
                </c:pt>
                <c:pt idx="11">
                  <c:v>0.32324850725744841</c:v>
                </c:pt>
                <c:pt idx="12">
                  <c:v>0.34945784568372801</c:v>
                </c:pt>
                <c:pt idx="13">
                  <c:v>0.38003540718105422</c:v>
                </c:pt>
                <c:pt idx="14">
                  <c:v>0.41061296867838043</c:v>
                </c:pt>
                <c:pt idx="15">
                  <c:v>0.43682230710466002</c:v>
                </c:pt>
                <c:pt idx="16">
                  <c:v>0.46739986860198623</c:v>
                </c:pt>
                <c:pt idx="17">
                  <c:v>0.49797743009931239</c:v>
                </c:pt>
                <c:pt idx="18">
                  <c:v>0.52418676852559198</c:v>
                </c:pt>
                <c:pt idx="19">
                  <c:v>0.55039610695187158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9-4CBE-B28C-0F52263C1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7029951"/>
        <c:axId val="1908466159"/>
      </c:lineChart>
      <c:catAx>
        <c:axId val="205702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66159"/>
        <c:crosses val="autoZero"/>
        <c:auto val="1"/>
        <c:lblAlgn val="ctr"/>
        <c:lblOffset val="100"/>
        <c:noMultiLvlLbl val="0"/>
      </c:catAx>
      <c:valAx>
        <c:axId val="19084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1078961</xdr:colOff>
      <xdr:row>44</xdr:row>
      <xdr:rowOff>57574</xdr:rowOff>
    </xdr:from>
    <xdr:to>
      <xdr:col>13</xdr:col>
      <xdr:colOff>91874</xdr:colOff>
      <xdr:row>58</xdr:row>
      <xdr:rowOff>141416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AB62C-2AA5-65D6-CF08-360875043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1068780</xdr:colOff>
      <xdr:row>60</xdr:row>
      <xdr:rowOff>101787</xdr:rowOff>
    </xdr:from>
    <xdr:to>
      <xdr:col>13</xdr:col>
      <xdr:colOff>81693</xdr:colOff>
      <xdr:row>74</xdr:row>
      <xdr:rowOff>185630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9F6128-7622-4F0B-819B-42478AC30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1071-BEA8-40B0-BD51-3FDAB19EFFE1}">
  <dimension ref="A1:Q82"/>
  <sheetViews>
    <sheetView tabSelected="1" topLeftCell="A31" zoomScale="98" workbookViewId="0">
      <selection activeCell="C42" sqref="C42"/>
    </sheetView>
  </sheetViews>
  <sheetFormatPr defaultRowHeight="15.05" x14ac:dyDescent="0.3"/>
  <cols>
    <col min="2" max="2" width="12.44140625" style="3" bestFit="1" customWidth="1"/>
    <col min="3" max="3" width="12.77734375" style="3" bestFit="1" customWidth="1"/>
    <col min="4" max="4" width="8.88671875" style="3"/>
    <col min="5" max="5" width="12.21875" style="3" bestFit="1" customWidth="1"/>
    <col min="6" max="6" width="8.88671875" style="3"/>
    <col min="7" max="7" width="14.5546875" style="3" bestFit="1" customWidth="1"/>
    <col min="8" max="10" width="8.88671875" style="3"/>
    <col min="12" max="12" width="11.44140625" style="3" bestFit="1" customWidth="1"/>
    <col min="13" max="13" width="12.5546875" style="3" bestFit="1" customWidth="1"/>
    <col min="14" max="14" width="11" style="3" bestFit="1" customWidth="1"/>
    <col min="15" max="15" width="12.6640625" style="3" bestFit="1" customWidth="1"/>
    <col min="16" max="16" width="11" bestFit="1" customWidth="1"/>
    <col min="17" max="17" width="12.6640625" bestFit="1" customWidth="1"/>
  </cols>
  <sheetData>
    <row r="1" spans="1:17" x14ac:dyDescent="0.3">
      <c r="B1" s="3" t="s">
        <v>6</v>
      </c>
      <c r="C1" s="3" t="s">
        <v>7</v>
      </c>
      <c r="E1" s="3" t="s">
        <v>6</v>
      </c>
      <c r="F1" s="3" t="s">
        <v>7</v>
      </c>
      <c r="G1" s="3" t="s">
        <v>8</v>
      </c>
      <c r="I1" s="3" t="s">
        <v>10</v>
      </c>
      <c r="J1" s="3" t="s">
        <v>11</v>
      </c>
    </row>
    <row r="2" spans="1:17" x14ac:dyDescent="0.3">
      <c r="A2" s="2" t="s">
        <v>0</v>
      </c>
      <c r="B2" s="4" t="s">
        <v>3</v>
      </c>
      <c r="C2" s="5" t="s">
        <v>4</v>
      </c>
      <c r="D2" s="6"/>
      <c r="E2" s="6" t="s">
        <v>2</v>
      </c>
      <c r="F2" s="6" t="s">
        <v>16</v>
      </c>
      <c r="G2" s="6" t="s">
        <v>1</v>
      </c>
      <c r="I2" s="6" t="s">
        <v>9</v>
      </c>
      <c r="J2" s="6" t="s">
        <v>9</v>
      </c>
      <c r="K2" s="6" t="s">
        <v>19</v>
      </c>
      <c r="M2" s="6" t="s">
        <v>28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1">
        <v>1</v>
      </c>
      <c r="B3" s="7">
        <v>10.7</v>
      </c>
      <c r="C3" s="8">
        <v>11.9</v>
      </c>
      <c r="E3" s="3">
        <v>19</v>
      </c>
      <c r="F3" s="3">
        <f>110.5/1000</f>
        <v>0.1105</v>
      </c>
      <c r="G3" s="3">
        <v>30</v>
      </c>
      <c r="I3" s="3">
        <v>625</v>
      </c>
      <c r="J3" s="3">
        <v>625</v>
      </c>
      <c r="K3" s="3">
        <v>65.45</v>
      </c>
      <c r="M3" s="3">
        <v>183.26</v>
      </c>
      <c r="N3" s="3">
        <v>1750</v>
      </c>
      <c r="O3" s="3">
        <v>90</v>
      </c>
      <c r="P3" s="3">
        <v>8.34</v>
      </c>
      <c r="Q3" s="3">
        <v>0.75</v>
      </c>
    </row>
    <row r="4" spans="1:17" x14ac:dyDescent="0.3">
      <c r="A4" s="1">
        <v>2</v>
      </c>
      <c r="B4" s="7">
        <v>8.8000000000000007</v>
      </c>
      <c r="C4" s="8">
        <v>14.5</v>
      </c>
      <c r="E4" s="3">
        <v>18.93</v>
      </c>
      <c r="P4" s="3"/>
      <c r="Q4" s="3"/>
    </row>
    <row r="5" spans="1:17" x14ac:dyDescent="0.3">
      <c r="A5" s="1">
        <v>3</v>
      </c>
      <c r="B5" s="7">
        <v>12.4</v>
      </c>
      <c r="C5" s="8">
        <v>13</v>
      </c>
      <c r="E5" s="3">
        <v>19.46</v>
      </c>
      <c r="P5" s="3"/>
      <c r="Q5" s="3"/>
    </row>
    <row r="6" spans="1:17" x14ac:dyDescent="0.3">
      <c r="A6" s="1">
        <v>4</v>
      </c>
      <c r="B6" s="7">
        <v>8.9</v>
      </c>
      <c r="C6" s="8">
        <v>8</v>
      </c>
      <c r="E6" s="3">
        <v>19.36</v>
      </c>
      <c r="P6" s="3"/>
      <c r="Q6" s="3"/>
    </row>
    <row r="7" spans="1:17" x14ac:dyDescent="0.3">
      <c r="A7" s="1">
        <v>5</v>
      </c>
      <c r="B7" s="7">
        <v>10.3</v>
      </c>
      <c r="C7" s="8">
        <v>8.3000000000000007</v>
      </c>
      <c r="E7" s="3">
        <v>19.010000000000002</v>
      </c>
      <c r="P7" s="3"/>
      <c r="Q7" s="3"/>
    </row>
    <row r="8" spans="1:17" x14ac:dyDescent="0.3">
      <c r="A8" s="1">
        <v>6</v>
      </c>
      <c r="B8" s="7">
        <v>10.199999999999999</v>
      </c>
      <c r="C8" s="8">
        <v>7.7</v>
      </c>
      <c r="E8" s="3">
        <v>19.149999999999999</v>
      </c>
      <c r="P8" s="3"/>
      <c r="Q8" s="3"/>
    </row>
    <row r="9" spans="1:17" x14ac:dyDescent="0.3">
      <c r="A9" s="1">
        <v>7</v>
      </c>
      <c r="B9" s="7">
        <v>13.3</v>
      </c>
      <c r="C9" s="8">
        <v>9</v>
      </c>
      <c r="E9" s="3">
        <v>19.29</v>
      </c>
      <c r="P9" s="3"/>
      <c r="Q9" s="3"/>
    </row>
    <row r="10" spans="1:17" x14ac:dyDescent="0.3">
      <c r="A10" s="1">
        <v>8</v>
      </c>
      <c r="B10" s="7">
        <v>16.8</v>
      </c>
      <c r="C10" s="8">
        <v>16.600000000000001</v>
      </c>
      <c r="E10" s="3">
        <v>19.36</v>
      </c>
      <c r="P10" s="3"/>
      <c r="Q10" s="3"/>
    </row>
    <row r="11" spans="1:17" x14ac:dyDescent="0.3">
      <c r="A11" s="1">
        <v>9</v>
      </c>
      <c r="B11" s="7">
        <v>17.7</v>
      </c>
      <c r="C11" s="8">
        <v>7.7</v>
      </c>
      <c r="E11" s="3">
        <v>19.149999999999999</v>
      </c>
      <c r="P11" s="3"/>
      <c r="Q11" s="3"/>
    </row>
    <row r="12" spans="1:17" x14ac:dyDescent="0.3">
      <c r="A12" s="1">
        <v>10</v>
      </c>
      <c r="B12" s="7">
        <v>18.5</v>
      </c>
      <c r="C12" s="8">
        <v>8.9</v>
      </c>
      <c r="E12" s="3">
        <v>19.829999999999998</v>
      </c>
      <c r="P12" s="3"/>
      <c r="Q12" s="3"/>
    </row>
    <row r="13" spans="1:17" x14ac:dyDescent="0.3">
      <c r="A13" s="9" t="s">
        <v>5</v>
      </c>
      <c r="B13" s="10">
        <f>AVERAGE(B3:B12)</f>
        <v>12.76</v>
      </c>
      <c r="C13" s="10">
        <f>AVERAGE(C3:C12)</f>
        <v>10.56</v>
      </c>
      <c r="D13" s="10"/>
      <c r="E13" s="10">
        <f t="shared" ref="E13:G13" si="0">AVERAGE(E3:E12)</f>
        <v>19.254000000000001</v>
      </c>
      <c r="F13" s="10">
        <f t="shared" si="0"/>
        <v>0.1105</v>
      </c>
      <c r="G13" s="10">
        <f t="shared" si="0"/>
        <v>30</v>
      </c>
      <c r="H13" s="11"/>
      <c r="I13" s="10">
        <f>AVERAGE(I3:I12)</f>
        <v>625</v>
      </c>
      <c r="J13" s="10">
        <f>AVERAGE(J3:J12)</f>
        <v>625</v>
      </c>
      <c r="K13" s="10">
        <f>AVERAGE(K3:K12)</f>
        <v>65.45</v>
      </c>
      <c r="L13" s="10"/>
      <c r="M13" s="10">
        <f>AVERAGE(M3:M12)</f>
        <v>183.26</v>
      </c>
      <c r="N13" s="10">
        <f>AVERAGE(N3:N12)</f>
        <v>1750</v>
      </c>
      <c r="O13" s="10">
        <f>AVERAGE(O3:O12)</f>
        <v>90</v>
      </c>
      <c r="P13" s="10">
        <f>AVERAGE(P3:P12)</f>
        <v>8.34</v>
      </c>
      <c r="Q13" s="12">
        <f>AVERAGE(Q3:Q12)</f>
        <v>0.75</v>
      </c>
    </row>
    <row r="14" spans="1:17" x14ac:dyDescent="0.3">
      <c r="E14" s="3">
        <f>E13/1000</f>
        <v>1.9254E-2</v>
      </c>
      <c r="P14" s="3"/>
    </row>
    <row r="15" spans="1:17" x14ac:dyDescent="0.3">
      <c r="P15" s="3"/>
    </row>
    <row r="16" spans="1:17" x14ac:dyDescent="0.3">
      <c r="A16" s="9" t="s">
        <v>17</v>
      </c>
      <c r="B16" s="10"/>
      <c r="C16" s="10"/>
      <c r="D16" s="10"/>
      <c r="E16" s="10"/>
      <c r="F16" s="10"/>
      <c r="G16" s="10"/>
      <c r="H16" s="10"/>
      <c r="I16" s="10"/>
      <c r="J16" s="10"/>
      <c r="K16" s="13"/>
      <c r="L16" s="13"/>
      <c r="M16" s="10"/>
      <c r="N16" s="10"/>
      <c r="O16" s="10"/>
      <c r="P16" s="12"/>
    </row>
    <row r="18" spans="2:9" x14ac:dyDescent="0.3">
      <c r="B18" s="3" t="s">
        <v>18</v>
      </c>
      <c r="C18" s="3">
        <f>(V_a-R_a*I_a)/Vel</f>
        <v>0.43682230710466002</v>
      </c>
      <c r="D18" s="3" t="s">
        <v>20</v>
      </c>
    </row>
    <row r="19" spans="2:9" x14ac:dyDescent="0.3">
      <c r="B19" s="3" t="s">
        <v>21</v>
      </c>
      <c r="C19" s="3">
        <f>C18</f>
        <v>0.43682230710466002</v>
      </c>
      <c r="D19" s="3" t="s">
        <v>22</v>
      </c>
      <c r="I19" s="3">
        <f>77.7/(R_a+10.3)</f>
        <v>3.3694709453599305</v>
      </c>
    </row>
    <row r="20" spans="2:9" x14ac:dyDescent="0.3">
      <c r="B20" s="3" t="s">
        <v>23</v>
      </c>
      <c r="C20" s="3">
        <f>(Kt*I_a)/Vel</f>
        <v>7.3749220680007529E-4</v>
      </c>
      <c r="D20" s="3" t="s">
        <v>26</v>
      </c>
    </row>
    <row r="21" spans="2:9" x14ac:dyDescent="0.3">
      <c r="B21" s="3" t="s">
        <v>24</v>
      </c>
      <c r="C21" s="3">
        <f>Kt*I_nom</f>
        <v>3.6430980412528644</v>
      </c>
      <c r="D21" s="3" t="s">
        <v>25</v>
      </c>
      <c r="F21" s="3" t="s">
        <v>32</v>
      </c>
      <c r="G21" s="3" t="s">
        <v>33</v>
      </c>
    </row>
    <row r="22" spans="2:9" x14ac:dyDescent="0.3">
      <c r="B22" s="3" t="s">
        <v>30</v>
      </c>
      <c r="C22" s="3">
        <f>G22-F22</f>
        <v>6.9999999999999951E-2</v>
      </c>
      <c r="D22" s="3" t="s">
        <v>31</v>
      </c>
      <c r="F22" s="3">
        <v>0.64500000000000002</v>
      </c>
      <c r="G22" s="3">
        <v>0.71499999999999997</v>
      </c>
    </row>
    <row r="23" spans="2:9" x14ac:dyDescent="0.3">
      <c r="B23" s="3" t="s">
        <v>27</v>
      </c>
      <c r="C23" s="3">
        <f>(Tau*Kt*Kb)/R_a</f>
        <v>1.0467837742082009E-3</v>
      </c>
      <c r="D23" s="3" t="s">
        <v>29</v>
      </c>
    </row>
    <row r="25" spans="2:9" x14ac:dyDescent="0.3">
      <c r="B25" s="3" t="s">
        <v>34</v>
      </c>
      <c r="C25" s="3">
        <f>-(C20/C23)</f>
        <v>-0.70453156131305406</v>
      </c>
    </row>
    <row r="26" spans="2:9" x14ac:dyDescent="0.3">
      <c r="B26" s="3" t="s">
        <v>35</v>
      </c>
      <c r="C26" s="3">
        <f>Kt/C23</f>
        <v>417.29946323927055</v>
      </c>
    </row>
    <row r="27" spans="2:9" x14ac:dyDescent="0.3">
      <c r="B27" s="3" t="s">
        <v>37</v>
      </c>
      <c r="C27" s="3">
        <f>-(Kb/E14)</f>
        <v>-22.687353646237664</v>
      </c>
    </row>
    <row r="28" spans="2:9" x14ac:dyDescent="0.3">
      <c r="B28" s="3" t="s">
        <v>36</v>
      </c>
      <c r="C28" s="3">
        <f>-(R_a/E14)</f>
        <v>-662.71943492261346</v>
      </c>
    </row>
    <row r="29" spans="2:9" x14ac:dyDescent="0.3">
      <c r="B29" s="3" t="s">
        <v>38</v>
      </c>
      <c r="C29" s="3">
        <f>1/E14</f>
        <v>51.937259790173471</v>
      </c>
    </row>
    <row r="31" spans="2:9" x14ac:dyDescent="0.3">
      <c r="B31" s="19"/>
      <c r="C31" s="20"/>
      <c r="D31" s="20"/>
      <c r="E31" s="20"/>
      <c r="F31" s="20"/>
      <c r="G31" s="21"/>
    </row>
    <row r="32" spans="2:9" x14ac:dyDescent="0.3">
      <c r="B32" s="14"/>
      <c r="C32" s="16">
        <f>C25</f>
        <v>-0.70453156131305406</v>
      </c>
      <c r="D32" s="17">
        <f>C26</f>
        <v>417.29946323927055</v>
      </c>
      <c r="F32" s="3" t="s">
        <v>43</v>
      </c>
      <c r="G32" s="15" t="s">
        <v>44</v>
      </c>
      <c r="I32" s="3" t="s">
        <v>47</v>
      </c>
    </row>
    <row r="33" spans="1:7" x14ac:dyDescent="0.3">
      <c r="B33" s="14" t="s">
        <v>39</v>
      </c>
      <c r="C33" s="16">
        <f>C27</f>
        <v>-22.687353646237664</v>
      </c>
      <c r="D33" s="17">
        <f>C28</f>
        <v>-662.71943492261346</v>
      </c>
      <c r="F33" s="3" t="s">
        <v>45</v>
      </c>
      <c r="G33" s="15" t="s">
        <v>46</v>
      </c>
    </row>
    <row r="34" spans="1:7" x14ac:dyDescent="0.3">
      <c r="B34" s="14"/>
      <c r="G34" s="15"/>
    </row>
    <row r="35" spans="1:7" x14ac:dyDescent="0.3">
      <c r="B35" s="14"/>
      <c r="C35" s="18">
        <v>0</v>
      </c>
      <c r="G35" s="15"/>
    </row>
    <row r="36" spans="1:7" x14ac:dyDescent="0.3">
      <c r="B36" s="14" t="s">
        <v>40</v>
      </c>
      <c r="C36" s="18">
        <f>C29</f>
        <v>51.937259790173471</v>
      </c>
      <c r="G36" s="15"/>
    </row>
    <row r="37" spans="1:7" x14ac:dyDescent="0.3">
      <c r="B37" s="14"/>
      <c r="G37" s="15"/>
    </row>
    <row r="38" spans="1:7" x14ac:dyDescent="0.3">
      <c r="B38" s="14" t="s">
        <v>41</v>
      </c>
      <c r="C38" s="16">
        <v>1</v>
      </c>
      <c r="D38" s="17">
        <v>0</v>
      </c>
      <c r="G38" s="15"/>
    </row>
    <row r="39" spans="1:7" x14ac:dyDescent="0.3">
      <c r="B39" s="14"/>
      <c r="G39" s="15"/>
    </row>
    <row r="40" spans="1:7" x14ac:dyDescent="0.3">
      <c r="B40" s="14" t="s">
        <v>42</v>
      </c>
      <c r="C40" s="18">
        <v>0</v>
      </c>
      <c r="G40" s="15"/>
    </row>
    <row r="41" spans="1:7" x14ac:dyDescent="0.3">
      <c r="B41" s="22"/>
      <c r="C41" s="23"/>
      <c r="D41" s="23"/>
      <c r="E41" s="23"/>
      <c r="F41" s="23"/>
      <c r="G41" s="24"/>
    </row>
    <row r="45" spans="1:7" x14ac:dyDescent="0.3">
      <c r="B45" s="3" t="s">
        <v>52</v>
      </c>
      <c r="C45" s="3" t="s">
        <v>53</v>
      </c>
      <c r="D45" s="3" t="s">
        <v>54</v>
      </c>
      <c r="E45" s="3" t="s">
        <v>51</v>
      </c>
    </row>
    <row r="46" spans="1:7" x14ac:dyDescent="0.3">
      <c r="A46">
        <v>1</v>
      </c>
      <c r="B46" s="3">
        <v>0</v>
      </c>
      <c r="C46" s="3">
        <v>60</v>
      </c>
      <c r="D46" s="3">
        <f>C46-B46</f>
        <v>60</v>
      </c>
      <c r="E46" s="3">
        <f>Kt*C46/1000</f>
        <v>2.6209338426279601E-2</v>
      </c>
    </row>
    <row r="47" spans="1:7" x14ac:dyDescent="0.3">
      <c r="A47">
        <v>2</v>
      </c>
      <c r="B47" s="3">
        <v>5</v>
      </c>
      <c r="C47" s="3">
        <v>130</v>
      </c>
      <c r="D47" s="3">
        <f t="shared" ref="D47:D54" si="1">C47-B47</f>
        <v>125</v>
      </c>
      <c r="E47" s="3">
        <f>Kt*C47/1000</f>
        <v>5.6786899923605805E-2</v>
      </c>
    </row>
    <row r="48" spans="1:7" x14ac:dyDescent="0.3">
      <c r="A48">
        <v>3</v>
      </c>
      <c r="B48" s="3">
        <v>123</v>
      </c>
      <c r="C48" s="3">
        <v>220</v>
      </c>
      <c r="D48" s="3">
        <f t="shared" si="1"/>
        <v>97</v>
      </c>
      <c r="E48" s="3">
        <f>Kt*C48/1000</f>
        <v>9.6100907563025209E-2</v>
      </c>
    </row>
    <row r="49" spans="1:5" x14ac:dyDescent="0.3">
      <c r="A49">
        <v>4</v>
      </c>
      <c r="B49" s="3">
        <v>190</v>
      </c>
      <c r="C49" s="3">
        <v>300</v>
      </c>
      <c r="D49" s="3">
        <f t="shared" si="1"/>
        <v>110</v>
      </c>
      <c r="E49" s="3">
        <f>Kt*C49/1000</f>
        <v>0.131046692131398</v>
      </c>
    </row>
    <row r="50" spans="1:5" x14ac:dyDescent="0.3">
      <c r="A50">
        <v>5</v>
      </c>
      <c r="B50" s="3">
        <v>255</v>
      </c>
      <c r="C50" s="3">
        <v>385</v>
      </c>
      <c r="D50" s="3">
        <f t="shared" si="1"/>
        <v>130</v>
      </c>
      <c r="E50" s="3">
        <f>Kt*C50/1000</f>
        <v>0.16817658823529411</v>
      </c>
    </row>
    <row r="51" spans="1:5" x14ac:dyDescent="0.3">
      <c r="A51">
        <v>6</v>
      </c>
      <c r="B51" s="3">
        <v>250</v>
      </c>
      <c r="C51" s="3">
        <v>370</v>
      </c>
      <c r="D51" s="3">
        <f t="shared" si="1"/>
        <v>120</v>
      </c>
      <c r="E51" s="3">
        <f>Kt*C51/1000</f>
        <v>0.16162425362872421</v>
      </c>
    </row>
    <row r="52" spans="1:5" x14ac:dyDescent="0.3">
      <c r="A52">
        <v>7</v>
      </c>
      <c r="B52" s="3">
        <v>320</v>
      </c>
      <c r="C52" s="3">
        <v>430</v>
      </c>
      <c r="D52" s="3">
        <f t="shared" si="1"/>
        <v>110</v>
      </c>
      <c r="E52" s="3">
        <f>Kt*C52/1000</f>
        <v>0.1878335920550038</v>
      </c>
    </row>
    <row r="53" spans="1:5" x14ac:dyDescent="0.3">
      <c r="A53">
        <v>8</v>
      </c>
      <c r="B53" s="3">
        <v>370</v>
      </c>
      <c r="C53" s="3">
        <v>490</v>
      </c>
      <c r="D53" s="3">
        <f t="shared" si="1"/>
        <v>120</v>
      </c>
      <c r="E53" s="3">
        <f>Kt*C53/1000</f>
        <v>0.21404293048128339</v>
      </c>
    </row>
    <row r="54" spans="1:5" x14ac:dyDescent="0.3">
      <c r="A54">
        <v>9</v>
      </c>
      <c r="B54" s="3">
        <v>425</v>
      </c>
      <c r="C54" s="3">
        <v>550</v>
      </c>
      <c r="D54" s="3">
        <f t="shared" si="1"/>
        <v>125</v>
      </c>
      <c r="E54" s="3">
        <f>Kt*C54/1000</f>
        <v>0.24025226890756302</v>
      </c>
    </row>
    <row r="55" spans="1:5" x14ac:dyDescent="0.3">
      <c r="A55">
        <v>10</v>
      </c>
      <c r="B55" s="3">
        <v>470</v>
      </c>
      <c r="C55" s="3">
        <v>620</v>
      </c>
      <c r="D55" s="3">
        <f>C55-B55</f>
        <v>150</v>
      </c>
      <c r="E55" s="3">
        <f>Kt*C55/1000</f>
        <v>0.27082983040488923</v>
      </c>
    </row>
    <row r="56" spans="1:5" x14ac:dyDescent="0.3">
      <c r="A56">
        <v>11</v>
      </c>
      <c r="B56" s="3">
        <v>535</v>
      </c>
      <c r="C56" s="3">
        <v>670</v>
      </c>
      <c r="D56" s="3">
        <f>C56-B56</f>
        <v>135</v>
      </c>
      <c r="E56" s="3">
        <f>Kt*C56/1000</f>
        <v>0.2926709457601222</v>
      </c>
    </row>
    <row r="57" spans="1:5" x14ac:dyDescent="0.3">
      <c r="A57">
        <v>12</v>
      </c>
      <c r="B57" s="3">
        <v>605</v>
      </c>
      <c r="C57" s="3">
        <v>740</v>
      </c>
      <c r="D57" s="3">
        <f>C57-B57</f>
        <v>135</v>
      </c>
      <c r="E57" s="3">
        <f>Kt*C57/1000</f>
        <v>0.32324850725744841</v>
      </c>
    </row>
    <row r="58" spans="1:5" x14ac:dyDescent="0.3">
      <c r="A58">
        <v>13</v>
      </c>
      <c r="B58" s="3">
        <v>670</v>
      </c>
      <c r="C58" s="3">
        <v>800</v>
      </c>
      <c r="D58" s="3">
        <f>C58-B58</f>
        <v>130</v>
      </c>
      <c r="E58" s="3">
        <f>Kt*C58/1000</f>
        <v>0.34945784568372801</v>
      </c>
    </row>
    <row r="59" spans="1:5" x14ac:dyDescent="0.3">
      <c r="A59">
        <v>14</v>
      </c>
      <c r="B59" s="3">
        <v>735</v>
      </c>
      <c r="C59" s="3">
        <v>870</v>
      </c>
      <c r="D59" s="3">
        <f>C59-B59</f>
        <v>135</v>
      </c>
      <c r="E59" s="3">
        <f>Kt*C59/1000</f>
        <v>0.38003540718105422</v>
      </c>
    </row>
    <row r="60" spans="1:5" x14ac:dyDescent="0.3">
      <c r="A60">
        <v>15</v>
      </c>
      <c r="B60" s="3">
        <v>775</v>
      </c>
      <c r="C60" s="3">
        <v>940</v>
      </c>
      <c r="D60" s="3">
        <f>C60-B60</f>
        <v>165</v>
      </c>
      <c r="E60" s="3">
        <f>Kt*C60/1000</f>
        <v>0.41061296867838043</v>
      </c>
    </row>
    <row r="61" spans="1:5" x14ac:dyDescent="0.3">
      <c r="A61">
        <v>16</v>
      </c>
      <c r="B61" s="3">
        <v>860</v>
      </c>
      <c r="C61" s="3">
        <v>1000</v>
      </c>
      <c r="D61" s="3">
        <f>C61-B61</f>
        <v>140</v>
      </c>
      <c r="E61" s="3">
        <f>Kt*C61/1000</f>
        <v>0.43682230710466002</v>
      </c>
    </row>
    <row r="62" spans="1:5" x14ac:dyDescent="0.3">
      <c r="A62">
        <v>17</v>
      </c>
      <c r="B62" s="3">
        <v>922</v>
      </c>
      <c r="C62" s="3">
        <v>1070</v>
      </c>
      <c r="D62" s="3">
        <f>C62-B62</f>
        <v>148</v>
      </c>
      <c r="E62" s="3">
        <f>Kt*C62/1000</f>
        <v>0.46739986860198623</v>
      </c>
    </row>
    <row r="63" spans="1:5" x14ac:dyDescent="0.3">
      <c r="A63">
        <v>18</v>
      </c>
      <c r="B63" s="3">
        <v>970</v>
      </c>
      <c r="C63" s="3">
        <v>1140</v>
      </c>
      <c r="D63" s="3">
        <f>C63-B63</f>
        <v>170</v>
      </c>
      <c r="E63" s="3">
        <f>Kt*C63/1000</f>
        <v>0.49797743009931239</v>
      </c>
    </row>
    <row r="64" spans="1:5" x14ac:dyDescent="0.3">
      <c r="A64">
        <v>19</v>
      </c>
      <c r="B64" s="3">
        <v>1050</v>
      </c>
      <c r="C64" s="3">
        <v>1200</v>
      </c>
      <c r="D64" s="3">
        <f>C64-B64</f>
        <v>150</v>
      </c>
      <c r="E64" s="3">
        <f>Kt*C64/1000</f>
        <v>0.52418676852559198</v>
      </c>
    </row>
    <row r="65" spans="1:7" x14ac:dyDescent="0.3">
      <c r="A65">
        <v>20</v>
      </c>
      <c r="B65" s="3">
        <v>1085</v>
      </c>
      <c r="C65" s="3">
        <v>1260</v>
      </c>
      <c r="D65" s="3">
        <f>C65-B65</f>
        <v>175</v>
      </c>
      <c r="E65" s="3">
        <f>Kt*C65/1000</f>
        <v>0.55039610695187158</v>
      </c>
    </row>
    <row r="66" spans="1:7" x14ac:dyDescent="0.3">
      <c r="A66">
        <v>30</v>
      </c>
      <c r="B66" s="3">
        <v>1815</v>
      </c>
      <c r="C66" s="3">
        <v>1970</v>
      </c>
      <c r="D66" s="3">
        <f>C66-B66</f>
        <v>155</v>
      </c>
      <c r="E66" s="3">
        <f>Kt*C66/1000</f>
        <v>0.86053994499618025</v>
      </c>
    </row>
    <row r="67" spans="1:7" x14ac:dyDescent="0.3">
      <c r="A67" s="25" t="s">
        <v>5</v>
      </c>
      <c r="D67" s="3">
        <f>AVERAGE(D55:D66)</f>
        <v>149</v>
      </c>
    </row>
    <row r="69" spans="1:7" x14ac:dyDescent="0.3">
      <c r="B69" s="3" t="s">
        <v>48</v>
      </c>
      <c r="C69" s="3" t="s">
        <v>49</v>
      </c>
      <c r="D69" s="3" t="s">
        <v>50</v>
      </c>
      <c r="E69" s="3" t="s">
        <v>9</v>
      </c>
    </row>
    <row r="70" spans="1:7" x14ac:dyDescent="0.3">
      <c r="E70" s="3">
        <v>1000</v>
      </c>
      <c r="G70" s="3">
        <v>0.4</v>
      </c>
    </row>
    <row r="79" spans="1:7" x14ac:dyDescent="0.3">
      <c r="B79" s="3" t="s">
        <v>55</v>
      </c>
    </row>
    <row r="80" spans="1:7" x14ac:dyDescent="0.3">
      <c r="B80" s="3" t="s">
        <v>57</v>
      </c>
      <c r="C80" s="3" t="s">
        <v>56</v>
      </c>
    </row>
    <row r="81" spans="2:3" x14ac:dyDescent="0.3">
      <c r="B81" s="3">
        <v>1750</v>
      </c>
      <c r="C81" s="3">
        <v>77.400000000000006</v>
      </c>
    </row>
    <row r="82" spans="2:3" x14ac:dyDescent="0.3">
      <c r="B82" s="3">
        <v>500</v>
      </c>
      <c r="C82" s="3">
        <v>23.5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I_a</vt:lpstr>
      <vt:lpstr>I_nom</vt:lpstr>
      <vt:lpstr>Kb</vt:lpstr>
      <vt:lpstr>Kt</vt:lpstr>
      <vt:lpstr>P_nom</vt:lpstr>
      <vt:lpstr>R_a</vt:lpstr>
      <vt:lpstr>Tau</vt:lpstr>
      <vt:lpstr>V_a</vt:lpstr>
      <vt:lpstr>V_nom</vt:lpstr>
      <vt:lpstr>Vel</vt:lpstr>
      <vt:lpstr>Vel_nom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Hdz</dc:creator>
  <cp:lastModifiedBy>Eduardo Hdz</cp:lastModifiedBy>
  <dcterms:created xsi:type="dcterms:W3CDTF">2026-08-17T19:14:22Z</dcterms:created>
  <dcterms:modified xsi:type="dcterms:W3CDTF">2026-09-03T19:30:58Z</dcterms:modified>
</cp:coreProperties>
</file>