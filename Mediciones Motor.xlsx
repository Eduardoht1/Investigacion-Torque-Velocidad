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ce62c51eb142d3/Desktop/EDUARDO DOCS/Investigacion Torque-Velocidad/"/>
    </mc:Choice>
  </mc:AlternateContent>
  <xr:revisionPtr revIDLastSave="173" documentId="8_{E5BC7409-0476-4DAC-8D7B-49AEA39C097C}" xr6:coauthVersionLast="47" xr6:coauthVersionMax="47" xr10:uidLastSave="{3A17BD93-E751-4A44-A7FD-2399D25BB8CE}"/>
  <bookViews>
    <workbookView xWindow="12463" yWindow="0" windowWidth="12776" windowHeight="13536" xr2:uid="{1E203277-977B-4F3E-A76D-A9EA142B0A2E}"/>
  </bookViews>
  <sheets>
    <sheet name="Sheet1" sheetId="1" r:id="rId1"/>
  </sheets>
  <definedNames>
    <definedName name="I_a">Sheet1!$F$13</definedName>
    <definedName name="I_nom">Sheet1!$P$13</definedName>
    <definedName name="Kb">Sheet1!$C$18</definedName>
    <definedName name="Kt">Sheet1!$C$19</definedName>
    <definedName name="P_nom">Sheet1!$Q$13</definedName>
    <definedName name="R_a">Sheet1!$B$13</definedName>
    <definedName name="Tau">Sheet1!$C$22</definedName>
    <definedName name="V_a">Sheet1!$G$13</definedName>
    <definedName name="V_nom">Sheet1!$O$13</definedName>
    <definedName name="Vel">Sheet1!$K$13</definedName>
    <definedName name="Vel_nom">Sheet1!$M$13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2" i="1" l="1"/>
  <c r="M13" i="1"/>
  <c r="K13" i="1"/>
  <c r="F3" i="1"/>
  <c r="F13" i="1" s="1"/>
  <c r="J13" i="1"/>
  <c r="N13" i="1"/>
  <c r="O13" i="1"/>
  <c r="P13" i="1"/>
  <c r="Q13" i="1"/>
  <c r="I13" i="1"/>
  <c r="C13" i="1"/>
  <c r="E13" i="1"/>
  <c r="E14" i="1" s="1"/>
  <c r="C29" i="1" s="1"/>
  <c r="C36" i="1" s="1"/>
  <c r="G13" i="1"/>
  <c r="C18" i="1" s="1"/>
  <c r="C19" i="1" s="1"/>
  <c r="C23" i="1" s="1"/>
  <c r="C26" i="1" s="1"/>
  <c r="D32" i="1" s="1"/>
  <c r="B13" i="1"/>
  <c r="C28" i="1" l="1"/>
  <c r="D33" i="1" s="1"/>
  <c r="C27" i="1"/>
  <c r="C33" i="1" s="1"/>
  <c r="C21" i="1"/>
  <c r="C20" i="1"/>
  <c r="C25" i="1" s="1"/>
  <c r="C32" i="1" s="1"/>
</calcChain>
</file>

<file path=xl/sharedStrings.xml><?xml version="1.0" encoding="utf-8"?>
<sst xmlns="http://schemas.openxmlformats.org/spreadsheetml/2006/main" count="51" uniqueCount="48">
  <si>
    <t>No.</t>
  </si>
  <si>
    <t>Va (V)</t>
  </si>
  <si>
    <t>L (mH)</t>
  </si>
  <si>
    <t>Ra (Ω) 1</t>
  </si>
  <si>
    <t>Ra (Ω) 2</t>
  </si>
  <si>
    <t>AVG</t>
  </si>
  <si>
    <t>M Rojo</t>
  </si>
  <si>
    <t>M Amarillo</t>
  </si>
  <si>
    <t>General</t>
  </si>
  <si>
    <t>RPM</t>
  </si>
  <si>
    <t>Encoder</t>
  </si>
  <si>
    <t>Tacometro</t>
  </si>
  <si>
    <t>RPM Nominal</t>
  </si>
  <si>
    <t>V Nominal (V)</t>
  </si>
  <si>
    <t>I Nominal (A)</t>
  </si>
  <si>
    <t>P Nominal (Hp)</t>
  </si>
  <si>
    <t>Ia (A)</t>
  </si>
  <si>
    <t>Calculos</t>
  </si>
  <si>
    <t>Kb</t>
  </si>
  <si>
    <t>Rad/s</t>
  </si>
  <si>
    <t>V/(rad/s)</t>
  </si>
  <si>
    <t>Kt</t>
  </si>
  <si>
    <t>Nm/A</t>
  </si>
  <si>
    <t>b</t>
  </si>
  <si>
    <t>T_rated</t>
  </si>
  <si>
    <t xml:space="preserve">Nm </t>
  </si>
  <si>
    <t>Nm*s</t>
  </si>
  <si>
    <t>J</t>
  </si>
  <si>
    <t>Rad/s Nominal</t>
  </si>
  <si>
    <t>kg*m^2</t>
  </si>
  <si>
    <t>τ</t>
  </si>
  <si>
    <t>s</t>
  </si>
  <si>
    <t>0 RPM</t>
  </si>
  <si>
    <t>395 Rpm (63.2%)</t>
  </si>
  <si>
    <t>(-b/J)</t>
  </si>
  <si>
    <t>(Kt/J)</t>
  </si>
  <si>
    <t>(-R/L)</t>
  </si>
  <si>
    <t>(-Kb/L)</t>
  </si>
  <si>
    <t>(1/L)</t>
  </si>
  <si>
    <t>A</t>
  </si>
  <si>
    <t>B</t>
  </si>
  <si>
    <t>C</t>
  </si>
  <si>
    <t>D</t>
  </si>
  <si>
    <t>x1</t>
  </si>
  <si>
    <t>w[rad/s]</t>
  </si>
  <si>
    <t>x2</t>
  </si>
  <si>
    <t>ia[A]</t>
  </si>
  <si>
    <t>Resistencia Armadura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</si>
</sst>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1" fillId="4" borderId="1" xfId="0" applyFont="1" applyFill="1" applyBorder="1"/>
    <xf numFmtId="0" fontId="1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2" xfId="0" applyFont="1" applyFill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81071-BEA8-40B0-BD51-3FDAB19EFFE1}">
  <dimension ref="A1:Q41"/>
  <sheetViews>
    <sheetView tabSelected="1" topLeftCell="A43" zoomScale="104" workbookViewId="0">
      <selection activeCell="B47" sqref="B47"/>
    </sheetView>
  </sheetViews>
  <sheetFormatPr defaultRowHeight="15.05" x14ac:dyDescent="0.3"/>
  <cols>
    <col min="2" max="2" width="12.44140625" style="3" bestFit="1" customWidth="1"/>
    <col min="3" max="6" width="8.88671875" style="3"/>
    <col min="7" max="7" width="14.5546875" style="3" bestFit="1" customWidth="1"/>
    <col min="8" max="10" width="8.88671875" style="3"/>
    <col min="12" max="12" width="11.44140625" style="3" bestFit="1" customWidth="1"/>
    <col min="13" max="13" width="12.5546875" style="3" bestFit="1" customWidth="1"/>
    <col min="14" max="14" width="11" style="3" bestFit="1" customWidth="1"/>
    <col min="15" max="15" width="12.6640625" style="3" bestFit="1" customWidth="1"/>
    <col min="16" max="16" width="11" bestFit="1" customWidth="1"/>
    <col min="17" max="17" width="12.6640625" bestFit="1" customWidth="1"/>
  </cols>
  <sheetData>
    <row r="1" spans="1:17" x14ac:dyDescent="0.3">
      <c r="B1" s="3" t="s">
        <v>6</v>
      </c>
      <c r="C1" s="3" t="s">
        <v>7</v>
      </c>
      <c r="E1" s="3" t="s">
        <v>6</v>
      </c>
      <c r="F1" s="3" t="s">
        <v>7</v>
      </c>
      <c r="G1" s="3" t="s">
        <v>8</v>
      </c>
      <c r="I1" s="3" t="s">
        <v>10</v>
      </c>
      <c r="J1" s="3" t="s">
        <v>11</v>
      </c>
    </row>
    <row r="2" spans="1:17" x14ac:dyDescent="0.3">
      <c r="A2" s="2" t="s">
        <v>0</v>
      </c>
      <c r="B2" s="4" t="s">
        <v>3</v>
      </c>
      <c r="C2" s="5" t="s">
        <v>4</v>
      </c>
      <c r="D2" s="6"/>
      <c r="E2" s="6" t="s">
        <v>2</v>
      </c>
      <c r="F2" s="6" t="s">
        <v>16</v>
      </c>
      <c r="G2" s="6" t="s">
        <v>1</v>
      </c>
      <c r="I2" s="6" t="s">
        <v>9</v>
      </c>
      <c r="J2" s="6" t="s">
        <v>9</v>
      </c>
      <c r="K2" s="6" t="s">
        <v>19</v>
      </c>
      <c r="M2" s="6" t="s">
        <v>28</v>
      </c>
      <c r="N2" s="6" t="s">
        <v>12</v>
      </c>
      <c r="O2" s="6" t="s">
        <v>13</v>
      </c>
      <c r="P2" s="6" t="s">
        <v>14</v>
      </c>
      <c r="Q2" s="6" t="s">
        <v>15</v>
      </c>
    </row>
    <row r="3" spans="1:17" x14ac:dyDescent="0.3">
      <c r="A3" s="1">
        <v>1</v>
      </c>
      <c r="B3" s="7">
        <v>10.7</v>
      </c>
      <c r="C3" s="8">
        <v>11.9</v>
      </c>
      <c r="E3" s="3">
        <v>19</v>
      </c>
      <c r="F3" s="3">
        <f>110.5/1000</f>
        <v>0.1105</v>
      </c>
      <c r="G3" s="3">
        <v>30</v>
      </c>
      <c r="I3" s="3">
        <v>625</v>
      </c>
      <c r="J3" s="3">
        <v>625</v>
      </c>
      <c r="K3" s="3">
        <v>65.45</v>
      </c>
      <c r="M3" s="3">
        <v>183.26</v>
      </c>
      <c r="N3" s="3">
        <v>1750</v>
      </c>
      <c r="O3" s="3">
        <v>90</v>
      </c>
      <c r="P3" s="3">
        <v>8.34</v>
      </c>
      <c r="Q3" s="3">
        <v>0.75</v>
      </c>
    </row>
    <row r="4" spans="1:17" x14ac:dyDescent="0.3">
      <c r="A4" s="1">
        <v>2</v>
      </c>
      <c r="B4" s="7">
        <v>8.8000000000000007</v>
      </c>
      <c r="C4" s="8">
        <v>14.5</v>
      </c>
      <c r="E4" s="3">
        <v>18.93</v>
      </c>
      <c r="P4" s="3"/>
      <c r="Q4" s="3"/>
    </row>
    <row r="5" spans="1:17" x14ac:dyDescent="0.3">
      <c r="A5" s="1">
        <v>3</v>
      </c>
      <c r="B5" s="7">
        <v>12.4</v>
      </c>
      <c r="C5" s="8">
        <v>13</v>
      </c>
      <c r="E5" s="3">
        <v>19.46</v>
      </c>
      <c r="P5" s="3"/>
      <c r="Q5" s="3"/>
    </row>
    <row r="6" spans="1:17" x14ac:dyDescent="0.3">
      <c r="A6" s="1">
        <v>4</v>
      </c>
      <c r="B6" s="7">
        <v>8.9</v>
      </c>
      <c r="C6" s="8">
        <v>8</v>
      </c>
      <c r="E6" s="3">
        <v>19.36</v>
      </c>
      <c r="P6" s="3"/>
      <c r="Q6" s="3"/>
    </row>
    <row r="7" spans="1:17" x14ac:dyDescent="0.3">
      <c r="A7" s="1">
        <v>5</v>
      </c>
      <c r="B7" s="7">
        <v>10.3</v>
      </c>
      <c r="C7" s="8">
        <v>8.3000000000000007</v>
      </c>
      <c r="E7" s="3">
        <v>19.010000000000002</v>
      </c>
      <c r="P7" s="3"/>
      <c r="Q7" s="3"/>
    </row>
    <row r="8" spans="1:17" x14ac:dyDescent="0.3">
      <c r="A8" s="1">
        <v>6</v>
      </c>
      <c r="B8" s="7">
        <v>10.199999999999999</v>
      </c>
      <c r="C8" s="8">
        <v>7.7</v>
      </c>
      <c r="E8" s="3">
        <v>19.149999999999999</v>
      </c>
      <c r="P8" s="3"/>
      <c r="Q8" s="3"/>
    </row>
    <row r="9" spans="1:17" x14ac:dyDescent="0.3">
      <c r="A9" s="1">
        <v>7</v>
      </c>
      <c r="B9" s="7">
        <v>13.3</v>
      </c>
      <c r="C9" s="8">
        <v>9</v>
      </c>
      <c r="E9" s="3">
        <v>19.29</v>
      </c>
      <c r="P9" s="3"/>
      <c r="Q9" s="3"/>
    </row>
    <row r="10" spans="1:17" x14ac:dyDescent="0.3">
      <c r="A10" s="1">
        <v>8</v>
      </c>
      <c r="B10" s="7">
        <v>16.8</v>
      </c>
      <c r="C10" s="8">
        <v>16.600000000000001</v>
      </c>
      <c r="E10" s="3">
        <v>19.36</v>
      </c>
      <c r="P10" s="3"/>
      <c r="Q10" s="3"/>
    </row>
    <row r="11" spans="1:17" x14ac:dyDescent="0.3">
      <c r="A11" s="1">
        <v>9</v>
      </c>
      <c r="B11" s="7">
        <v>17.7</v>
      </c>
      <c r="C11" s="8">
        <v>7.7</v>
      </c>
      <c r="E11" s="3">
        <v>19.149999999999999</v>
      </c>
      <c r="P11" s="3"/>
      <c r="Q11" s="3"/>
    </row>
    <row r="12" spans="1:17" x14ac:dyDescent="0.3">
      <c r="A12" s="1">
        <v>10</v>
      </c>
      <c r="B12" s="7">
        <v>18.5</v>
      </c>
      <c r="C12" s="8">
        <v>8.9</v>
      </c>
      <c r="E12" s="3">
        <v>19.829999999999998</v>
      </c>
      <c r="P12" s="3"/>
      <c r="Q12" s="3"/>
    </row>
    <row r="13" spans="1:17" x14ac:dyDescent="0.3">
      <c r="A13" s="9" t="s">
        <v>5</v>
      </c>
      <c r="B13" s="10">
        <f>AVERAGE(B3:B12)</f>
        <v>12.76</v>
      </c>
      <c r="C13" s="10">
        <f>AVERAGE(C3:C12)</f>
        <v>10.56</v>
      </c>
      <c r="D13" s="10"/>
      <c r="E13" s="10">
        <f t="shared" ref="E13:G13" si="0">AVERAGE(E3:E12)</f>
        <v>19.254000000000001</v>
      </c>
      <c r="F13" s="10">
        <f t="shared" si="0"/>
        <v>0.1105</v>
      </c>
      <c r="G13" s="10">
        <f t="shared" si="0"/>
        <v>30</v>
      </c>
      <c r="H13" s="11"/>
      <c r="I13" s="10">
        <f>AVERAGE(I3:I12)</f>
        <v>625</v>
      </c>
      <c r="J13" s="10">
        <f>AVERAGE(J3:J12)</f>
        <v>625</v>
      </c>
      <c r="K13" s="10">
        <f>AVERAGE(K3:K12)</f>
        <v>65.45</v>
      </c>
      <c r="L13" s="10"/>
      <c r="M13" s="10">
        <f>AVERAGE(M3:M12)</f>
        <v>183.26</v>
      </c>
      <c r="N13" s="10">
        <f>AVERAGE(N3:N12)</f>
        <v>1750</v>
      </c>
      <c r="O13" s="10">
        <f>AVERAGE(O3:O12)</f>
        <v>90</v>
      </c>
      <c r="P13" s="10">
        <f>AVERAGE(P3:P12)</f>
        <v>8.34</v>
      </c>
      <c r="Q13" s="12">
        <f>AVERAGE(Q3:Q12)</f>
        <v>0.75</v>
      </c>
    </row>
    <row r="14" spans="1:17" x14ac:dyDescent="0.3">
      <c r="E14" s="3">
        <f>E13/1000</f>
        <v>1.9254E-2</v>
      </c>
      <c r="P14" s="3"/>
    </row>
    <row r="15" spans="1:17" x14ac:dyDescent="0.3">
      <c r="P15" s="3"/>
    </row>
    <row r="16" spans="1:17" x14ac:dyDescent="0.3">
      <c r="A16" s="9" t="s">
        <v>17</v>
      </c>
      <c r="B16" s="10"/>
      <c r="C16" s="10"/>
      <c r="D16" s="10"/>
      <c r="E16" s="10"/>
      <c r="F16" s="10"/>
      <c r="G16" s="10"/>
      <c r="H16" s="10"/>
      <c r="I16" s="10"/>
      <c r="J16" s="10"/>
      <c r="K16" s="13"/>
      <c r="L16" s="13"/>
      <c r="M16" s="10"/>
      <c r="N16" s="10"/>
      <c r="O16" s="10"/>
      <c r="P16" s="12"/>
    </row>
    <row r="18" spans="2:9" x14ac:dyDescent="0.3">
      <c r="B18" s="3" t="s">
        <v>18</v>
      </c>
      <c r="C18" s="3">
        <f>(V_a-R_a*I_a)/Vel</f>
        <v>0.43682230710466002</v>
      </c>
      <c r="D18" s="3" t="s">
        <v>20</v>
      </c>
    </row>
    <row r="19" spans="2:9" x14ac:dyDescent="0.3">
      <c r="B19" s="3" t="s">
        <v>21</v>
      </c>
      <c r="C19" s="3">
        <f>C18</f>
        <v>0.43682230710466002</v>
      </c>
      <c r="D19" s="3" t="s">
        <v>22</v>
      </c>
    </row>
    <row r="20" spans="2:9" x14ac:dyDescent="0.3">
      <c r="B20" s="3" t="s">
        <v>23</v>
      </c>
      <c r="C20" s="3">
        <f>(Kt*I_a)/Vel</f>
        <v>7.3749220680007529E-4</v>
      </c>
      <c r="D20" s="3" t="s">
        <v>26</v>
      </c>
    </row>
    <row r="21" spans="2:9" x14ac:dyDescent="0.3">
      <c r="B21" s="3" t="s">
        <v>24</v>
      </c>
      <c r="C21" s="3">
        <f>Kt*I_nom</f>
        <v>3.6430980412528644</v>
      </c>
      <c r="D21" s="3" t="s">
        <v>25</v>
      </c>
      <c r="F21" s="3" t="s">
        <v>32</v>
      </c>
      <c r="G21" s="3" t="s">
        <v>33</v>
      </c>
    </row>
    <row r="22" spans="2:9" x14ac:dyDescent="0.3">
      <c r="B22" s="3" t="s">
        <v>30</v>
      </c>
      <c r="C22" s="3">
        <f>G22-F22</f>
        <v>6.9999999999999951E-2</v>
      </c>
      <c r="D22" s="3" t="s">
        <v>31</v>
      </c>
      <c r="F22" s="3">
        <v>0.64500000000000002</v>
      </c>
      <c r="G22" s="3">
        <v>0.71499999999999997</v>
      </c>
    </row>
    <row r="23" spans="2:9" x14ac:dyDescent="0.3">
      <c r="B23" s="3" t="s">
        <v>27</v>
      </c>
      <c r="C23" s="3">
        <f>(Tau*Kt*Kb)/R_a</f>
        <v>1.0467837742082009E-3</v>
      </c>
      <c r="D23" s="3" t="s">
        <v>29</v>
      </c>
    </row>
    <row r="25" spans="2:9" x14ac:dyDescent="0.3">
      <c r="B25" s="3" t="s">
        <v>34</v>
      </c>
      <c r="C25" s="3">
        <f>-(C20/C23)</f>
        <v>-0.70453156131305406</v>
      </c>
    </row>
    <row r="26" spans="2:9" x14ac:dyDescent="0.3">
      <c r="B26" s="3" t="s">
        <v>35</v>
      </c>
      <c r="C26" s="3">
        <f>Kt/C23</f>
        <v>417.29946323927055</v>
      </c>
    </row>
    <row r="27" spans="2:9" x14ac:dyDescent="0.3">
      <c r="B27" s="3" t="s">
        <v>37</v>
      </c>
      <c r="C27" s="3">
        <f>-(Kb/E14)</f>
        <v>-22.687353646237664</v>
      </c>
    </row>
    <row r="28" spans="2:9" x14ac:dyDescent="0.3">
      <c r="B28" s="3" t="s">
        <v>36</v>
      </c>
      <c r="C28" s="3">
        <f>-(R_a/E14)</f>
        <v>-662.71943492261346</v>
      </c>
    </row>
    <row r="29" spans="2:9" x14ac:dyDescent="0.3">
      <c r="B29" s="3" t="s">
        <v>38</v>
      </c>
      <c r="C29" s="3">
        <f>1/E14</f>
        <v>51.937259790173471</v>
      </c>
    </row>
    <row r="31" spans="2:9" x14ac:dyDescent="0.3">
      <c r="B31" s="19"/>
      <c r="C31" s="20"/>
      <c r="D31" s="20"/>
      <c r="E31" s="20"/>
      <c r="F31" s="20"/>
      <c r="G31" s="21"/>
    </row>
    <row r="32" spans="2:9" x14ac:dyDescent="0.3">
      <c r="B32" s="14"/>
      <c r="C32" s="16">
        <f>C25</f>
        <v>-0.70453156131305406</v>
      </c>
      <c r="D32" s="17">
        <f>C26</f>
        <v>417.29946323927055</v>
      </c>
      <c r="F32" s="3" t="s">
        <v>43</v>
      </c>
      <c r="G32" s="15" t="s">
        <v>44</v>
      </c>
      <c r="I32" s="3" t="s">
        <v>47</v>
      </c>
    </row>
    <row r="33" spans="2:7" x14ac:dyDescent="0.3">
      <c r="B33" s="14" t="s">
        <v>39</v>
      </c>
      <c r="C33" s="16">
        <f>C27</f>
        <v>-22.687353646237664</v>
      </c>
      <c r="D33" s="17">
        <f>C28</f>
        <v>-662.71943492261346</v>
      </c>
      <c r="F33" s="3" t="s">
        <v>45</v>
      </c>
      <c r="G33" s="15" t="s">
        <v>46</v>
      </c>
    </row>
    <row r="34" spans="2:7" x14ac:dyDescent="0.3">
      <c r="B34" s="14"/>
      <c r="G34" s="15"/>
    </row>
    <row r="35" spans="2:7" x14ac:dyDescent="0.3">
      <c r="B35" s="14"/>
      <c r="C35" s="18">
        <v>0</v>
      </c>
      <c r="G35" s="15"/>
    </row>
    <row r="36" spans="2:7" x14ac:dyDescent="0.3">
      <c r="B36" s="14" t="s">
        <v>40</v>
      </c>
      <c r="C36" s="18">
        <f>C29</f>
        <v>51.937259790173471</v>
      </c>
      <c r="G36" s="15"/>
    </row>
    <row r="37" spans="2:7" x14ac:dyDescent="0.3">
      <c r="B37" s="14"/>
      <c r="G37" s="15"/>
    </row>
    <row r="38" spans="2:7" x14ac:dyDescent="0.3">
      <c r="B38" s="14" t="s">
        <v>41</v>
      </c>
      <c r="C38" s="16">
        <v>1</v>
      </c>
      <c r="D38" s="17">
        <v>0</v>
      </c>
      <c r="G38" s="15"/>
    </row>
    <row r="39" spans="2:7" x14ac:dyDescent="0.3">
      <c r="B39" s="14"/>
      <c r="G39" s="15"/>
    </row>
    <row r="40" spans="2:7" x14ac:dyDescent="0.3">
      <c r="B40" s="14" t="s">
        <v>42</v>
      </c>
      <c r="C40" s="18">
        <v>0</v>
      </c>
      <c r="G40" s="15"/>
    </row>
    <row r="41" spans="2:7" x14ac:dyDescent="0.3">
      <c r="B41" s="22"/>
      <c r="C41" s="23"/>
      <c r="D41" s="23"/>
      <c r="E41" s="23"/>
      <c r="F41" s="23"/>
      <c r="G41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Sheet1</vt:lpstr>
      <vt:lpstr>I_a</vt:lpstr>
      <vt:lpstr>I_nom</vt:lpstr>
      <vt:lpstr>Kb</vt:lpstr>
      <vt:lpstr>Kt</vt:lpstr>
      <vt:lpstr>P_nom</vt:lpstr>
      <vt:lpstr>R_a</vt:lpstr>
      <vt:lpstr>Tau</vt:lpstr>
      <vt:lpstr>V_a</vt:lpstr>
      <vt:lpstr>V_nom</vt:lpstr>
      <vt:lpstr>Vel</vt:lpstr>
      <vt:lpstr>Vel_nom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Hdz</dc:creator>
  <cp:lastModifiedBy>Eduardo Hdz</cp:lastModifiedBy>
  <dcterms:created xsi:type="dcterms:W3CDTF">2026-08-17T19:14:22Z</dcterms:created>
  <dcterms:modified xsi:type="dcterms:W3CDTF">2026-08-28T13:29:08Z</dcterms:modified>
</cp:coreProperties>
</file>